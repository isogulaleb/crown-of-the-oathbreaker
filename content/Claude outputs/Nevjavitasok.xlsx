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évjavítások" sheetId="1" state="visible" r:id="rId3"/>
  </sheets>
  <definedNames>
    <definedName function="false" hidden="true" localSheetId="0" name="_xlnm._FilterDatabase" vbProcedure="false">Névjavítások!$A$5:$G$40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<sst xmlns="http://schemas.openxmlformats.org/spreadsheetml/2006/main" count="132" uniqueCount="85">
  <si>
    <t xml:space="preserve">Névjavítási javaslatok – szerepjátékos átirat</t>
  </si>
  <si>
    <t xml:space="preserve">Töltsd ki a sárga oszlopokat: a Döntés legördülő listából választható, a Saját javítás oszlopba írd a helyes alakot, ha mást szeretnél.</t>
  </si>
  <si>
    <t xml:space="preserve">Kérdés: kötőjellel (Monder-rel, mint az első részben) vagy helyesírás szerint kötőjel nélkül (Monderrel) legyenek a toldalékos alakok?</t>
  </si>
  <si>
    <t xml:space="preserve">Kategória</t>
  </si>
  <si>
    <t xml:space="preserve">Átiratban</t>
  </si>
  <si>
    <t xml:space="preserve">Javasolt javítás</t>
  </si>
  <si>
    <t xml:space="preserve">Db</t>
  </si>
  <si>
    <t xml:space="preserve">Megjegyzés</t>
  </si>
  <si>
    <t xml:space="preserve">Döntés</t>
  </si>
  <si>
    <t xml:space="preserve">Saját javítás</t>
  </si>
  <si>
    <t xml:space="preserve">Biztos</t>
  </si>
  <si>
    <t xml:space="preserve">Rikiotén, Rikiotént, Rikioténhez, Rikiuténél, Ikiótihoz</t>
  </si>
  <si>
    <t xml:space="preserve">Ricio Tane (Ricio Tane-t, -hez, -nél)</t>
  </si>
  <si>
    <t xml:space="preserve">Rico Tane</t>
  </si>
  <si>
    <t xml:space="preserve">Ricio Tane</t>
  </si>
  <si>
    <t xml:space="preserve">Ricky</t>
  </si>
  <si>
    <t xml:space="preserve">Ricio</t>
  </si>
  <si>
    <t xml:space="preserve">pl. „Ezt mondta Ricky?”</t>
  </si>
  <si>
    <t xml:space="preserve">Abrathia, Abrathiától, Tabrathiában, Áfrátinának</t>
  </si>
  <si>
    <t xml:space="preserve">Avrathia (-tól, -ban, -nak)</t>
  </si>
  <si>
    <t xml:space="preserve">Ranbert, Rambert, Ranbernél, Rander</t>
  </si>
  <si>
    <t xml:space="preserve">Ranberd (Ranberdnél stb.)</t>
  </si>
  <si>
    <t xml:space="preserve">Syzane</t>
  </si>
  <si>
    <t xml:space="preserve">Xyzane</t>
  </si>
  <si>
    <t xml:space="preserve">Szil!</t>
  </si>
  <si>
    <t xml:space="preserve">Syl!</t>
  </si>
  <si>
    <t xml:space="preserve">„Szil! Úgy láttam, hogy nem jól aludtál…”</t>
  </si>
  <si>
    <t xml:space="preserve">Kit. / Kit, rák</t>
  </si>
  <si>
    <t xml:space="preserve">Kith. / Kith'rak</t>
  </si>
  <si>
    <t xml:space="preserve">A csapat egy szótagos neveiről szóló rész. A „Kit a fővarázsból?” mondatban kérdőszó, nem javítandó.</t>
  </si>
  <si>
    <t xml:space="preserve">Afinak királynő</t>
  </si>
  <si>
    <t xml:space="preserve">Aphinah királynő</t>
  </si>
  <si>
    <t xml:space="preserve">Valószínű</t>
  </si>
  <si>
    <t xml:space="preserve">Simonder, Simondert, Simondernek, Simon der, Simander</t>
  </si>
  <si>
    <t xml:space="preserve">Cyne Monder (-t, -nek)</t>
  </si>
  <si>
    <t xml:space="preserve">Simonrel, Simonrelt, Simonrelrel, Simonrelék, „North Simonrel”</t>
  </si>
  <si>
    <t xml:space="preserve">Cyne Monder / Cyne Mondert / Cyne Monderék</t>
  </si>
  <si>
    <t xml:space="preserve">Gyakran alanyként áll („a Simonrel nem tud odajönni”), ezért „Cyne Monder” a javaslat, nem „Monderrel”.</t>
  </si>
  <si>
    <t xml:space="preserve">Simon Render, Simon Rendert, Simon Rendernek, Simon Rander</t>
  </si>
  <si>
    <t xml:space="preserve">Bizonytalan</t>
  </si>
  <si>
    <t xml:space="preserve">Lambert, Lambertnek</t>
  </si>
  <si>
    <t xml:space="preserve">Ranberd</t>
  </si>
  <si>
    <t xml:space="preserve">Empórium-tervezésnél. „Nem Lambert, mert az ö-betű lenne” – lehet szándékos szójáték.</t>
  </si>
  <si>
    <t xml:space="preserve">Paramózsa, Paramószák</t>
  </si>
  <si>
    <t xml:space="preserve">Karramosa, Karramosák</t>
  </si>
  <si>
    <t xml:space="preserve">„Paramózsa nemes megmentő, Lord Daeryn.”</t>
  </si>
  <si>
    <t xml:space="preserve">Lord Daeryn</t>
  </si>
  <si>
    <t xml:space="preserve">Lord Dyrin (Karramosa)</t>
  </si>
  <si>
    <t xml:space="preserve">Ugyanabban a mondatban.</t>
  </si>
  <si>
    <t xml:space="preserve">Drino, Dávidó, Dávid</t>
  </si>
  <si>
    <t xml:space="preserve">Davrillo?</t>
  </si>
  <si>
    <t xml:space="preserve">Egy fickó nevét kérdezik; Davrillo Prancarr halott, lehet új NPC.</t>
  </si>
  <si>
    <t xml:space="preserve">Simon Veres</t>
  </si>
  <si>
    <t xml:space="preserve">Cyne Monder?</t>
  </si>
  <si>
    <t xml:space="preserve">„a Simon Veres kéri”</t>
  </si>
  <si>
    <t xml:space="preserve">Simon (önállóan)</t>
  </si>
  <si>
    <t xml:space="preserve">„majd Simon pedig énekel egy dalt”</t>
  </si>
  <si>
    <t xml:space="preserve">Phantomless Warlock, Dying Warlock</t>
  </si>
  <si>
    <t xml:space="preserve">Fathomless Warlock, Undying Warlock</t>
  </si>
  <si>
    <t xml:space="preserve">D&amp;D-alosztályok, nem a vault nevei.</t>
  </si>
  <si>
    <t xml:space="preserve">Holloway B-nél</t>
  </si>
  <si>
    <t xml:space="preserve">Holló Lovag?</t>
  </si>
  <si>
    <t xml:space="preserve">Nincs a vaultban</t>
  </si>
  <si>
    <t xml:space="preserve">Szágmond elnök</t>
  </si>
  <si>
    <t xml:space="preserve">Nem szerepel a vaultban; marad, hacsak nem adod meg a helyes alakot. Lehet játékosnév vagy tréfa.</t>
  </si>
  <si>
    <t xml:space="preserve">Krasznyi Zsolt</t>
  </si>
  <si>
    <t xml:space="preserve">Hilgár asszony</t>
  </si>
  <si>
    <t xml:space="preserve">Gyurcsin néni</t>
  </si>
  <si>
    <t xml:space="preserve">Ellenóra</t>
  </si>
  <si>
    <t xml:space="preserve">Tirgalos (élőholt tanács)</t>
  </si>
  <si>
    <t xml:space="preserve">Olasz Ironman</t>
  </si>
  <si>
    <t xml:space="preserve">Iron Defi pajzs</t>
  </si>
  <si>
    <t xml:space="preserve">Tolicska</t>
  </si>
  <si>
    <t xml:space="preserve">Simai kutya</t>
  </si>
  <si>
    <t xml:space="preserve">Szilárdányos</t>
  </si>
  <si>
    <t xml:space="preserve">Szőlvány</t>
  </si>
  <si>
    <t xml:space="preserve">Anutából</t>
  </si>
  <si>
    <t xml:space="preserve">Latya</t>
  </si>
  <si>
    <t xml:space="preserve">Szekváros</t>
  </si>
  <si>
    <t xml:space="preserve">Összesítés</t>
  </si>
  <si>
    <t xml:space="preserve">Jóváhagyom</t>
  </si>
  <si>
    <t xml:space="preserve">Módosítom</t>
  </si>
  <si>
    <t xml:space="preserve">Elvetem</t>
  </si>
  <si>
    <t xml:space="preserve">Még nincs döntés</t>
  </si>
  <si>
    <t xml:space="preserve">Érintett előfordulás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</si>
</sst>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6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F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7" t="s">
        <v>11</v>
      </c>
      <c r="C6" s="7" t="s">
        <v>12</v>
      </c>
      <c r="D6" s="7" t="n">
        <v>6</v>
      </c>
      <c r="E6" s="7"/>
      <c r="F6" s="8"/>
      <c r="G6" s="8"/>
    </row>
    <row r="7" customFormat="false" ht="15" hidden="false" customHeight="false" outlineLevel="0" collapsed="false">
      <c r="A7" s="6" t="s">
        <v>10</v>
      </c>
      <c r="B7" s="7" t="s">
        <v>13</v>
      </c>
      <c r="C7" s="7" t="s">
        <v>14</v>
      </c>
      <c r="D7" s="7" t="n">
        <v>2</v>
      </c>
      <c r="E7" s="7"/>
      <c r="F7" s="8"/>
      <c r="G7" s="8"/>
    </row>
    <row r="8" customFormat="false" ht="15" hidden="false" customHeight="false" outlineLevel="0" collapsed="false">
      <c r="A8" s="6" t="s">
        <v>10</v>
      </c>
      <c r="B8" s="7" t="s">
        <v>15</v>
      </c>
      <c r="C8" s="7" t="s">
        <v>16</v>
      </c>
      <c r="D8" s="7" t="n">
        <v>3</v>
      </c>
      <c r="E8" s="7" t="s">
        <v>17</v>
      </c>
      <c r="F8" s="8"/>
      <c r="G8" s="8"/>
    </row>
    <row r="9" customFormat="false" ht="15" hidden="false" customHeight="false" outlineLevel="0" collapsed="false">
      <c r="A9" s="6" t="s">
        <v>10</v>
      </c>
      <c r="B9" s="7" t="s">
        <v>18</v>
      </c>
      <c r="C9" s="7" t="s">
        <v>19</v>
      </c>
      <c r="D9" s="7" t="n">
        <v>4</v>
      </c>
      <c r="E9" s="7"/>
      <c r="F9" s="8"/>
      <c r="G9" s="8"/>
    </row>
    <row r="10" customFormat="false" ht="15" hidden="false" customHeight="false" outlineLevel="0" collapsed="false">
      <c r="A10" s="6" t="s">
        <v>10</v>
      </c>
      <c r="B10" s="7" t="s">
        <v>20</v>
      </c>
      <c r="C10" s="7" t="s">
        <v>21</v>
      </c>
      <c r="D10" s="7" t="n">
        <v>7</v>
      </c>
      <c r="E10" s="7"/>
      <c r="F10" s="8"/>
      <c r="G10" s="8"/>
    </row>
    <row r="11" customFormat="false" ht="15" hidden="false" customHeight="false" outlineLevel="0" collapsed="false">
      <c r="A11" s="6" t="s">
        <v>10</v>
      </c>
      <c r="B11" s="7" t="s">
        <v>22</v>
      </c>
      <c r="C11" s="7" t="s">
        <v>23</v>
      </c>
      <c r="D11" s="7" t="n">
        <v>1</v>
      </c>
      <c r="E11" s="7"/>
      <c r="F11" s="8"/>
      <c r="G11" s="8"/>
    </row>
    <row r="12" customFormat="false" ht="15" hidden="false" customHeight="false" outlineLevel="0" collapsed="false">
      <c r="A12" s="6" t="s">
        <v>10</v>
      </c>
      <c r="B12" s="7" t="s">
        <v>24</v>
      </c>
      <c r="C12" s="7" t="s">
        <v>25</v>
      </c>
      <c r="D12" s="7" t="n">
        <v>1</v>
      </c>
      <c r="E12" s="7" t="s">
        <v>26</v>
      </c>
      <c r="F12" s="8"/>
      <c r="G12" s="8"/>
    </row>
    <row r="13" customFormat="false" ht="23.85" hidden="false" customHeight="false" outlineLevel="0" collapsed="false">
      <c r="A13" s="6" t="s">
        <v>10</v>
      </c>
      <c r="B13" s="7" t="s">
        <v>27</v>
      </c>
      <c r="C13" s="7" t="s">
        <v>28</v>
      </c>
      <c r="D13" s="7" t="n">
        <v>4</v>
      </c>
      <c r="E13" s="7" t="s">
        <v>29</v>
      </c>
      <c r="F13" s="8"/>
      <c r="G13" s="8"/>
    </row>
    <row r="14" customFormat="false" ht="15" hidden="false" customHeight="false" outlineLevel="0" collapsed="false">
      <c r="A14" s="6" t="s">
        <v>10</v>
      </c>
      <c r="B14" s="7" t="s">
        <v>30</v>
      </c>
      <c r="C14" s="7" t="s">
        <v>31</v>
      </c>
      <c r="D14" s="7" t="n">
        <v>1</v>
      </c>
      <c r="E14" s="7"/>
      <c r="F14" s="8"/>
      <c r="G14" s="8"/>
    </row>
    <row r="15" customFormat="false" ht="23.85" hidden="false" customHeight="false" outlineLevel="0" collapsed="false">
      <c r="A15" s="9" t="s">
        <v>32</v>
      </c>
      <c r="B15" s="7" t="s">
        <v>33</v>
      </c>
      <c r="C15" s="7" t="s">
        <v>34</v>
      </c>
      <c r="D15" s="7" t="n">
        <v>13</v>
      </c>
      <c r="E15" s="7"/>
      <c r="F15" s="8"/>
      <c r="G15" s="8"/>
    </row>
    <row r="16" customFormat="false" ht="23.85" hidden="false" customHeight="false" outlineLevel="0" collapsed="false">
      <c r="A16" s="9" t="s">
        <v>32</v>
      </c>
      <c r="B16" s="7" t="s">
        <v>35</v>
      </c>
      <c r="C16" s="7" t="s">
        <v>36</v>
      </c>
      <c r="D16" s="7" t="n">
        <v>12</v>
      </c>
      <c r="E16" s="7" t="s">
        <v>37</v>
      </c>
      <c r="F16" s="8"/>
      <c r="G16" s="8"/>
    </row>
    <row r="17" customFormat="false" ht="23.85" hidden="false" customHeight="false" outlineLevel="0" collapsed="false">
      <c r="A17" s="9" t="s">
        <v>32</v>
      </c>
      <c r="B17" s="7" t="s">
        <v>38</v>
      </c>
      <c r="C17" s="7" t="s">
        <v>34</v>
      </c>
      <c r="D17" s="7" t="n">
        <v>4</v>
      </c>
      <c r="E17" s="7"/>
      <c r="F17" s="8"/>
      <c r="G17" s="8"/>
    </row>
    <row r="18" customFormat="false" ht="23.85" hidden="false" customHeight="false" outlineLevel="0" collapsed="false">
      <c r="A18" s="10" t="s">
        <v>39</v>
      </c>
      <c r="B18" s="7" t="s">
        <v>40</v>
      </c>
      <c r="C18" s="7" t="s">
        <v>41</v>
      </c>
      <c r="D18" s="7" t="n">
        <v>2</v>
      </c>
      <c r="E18" s="7" t="s">
        <v>42</v>
      </c>
      <c r="F18" s="8"/>
      <c r="G18" s="8"/>
    </row>
    <row r="19" customFormat="false" ht="15" hidden="false" customHeight="false" outlineLevel="0" collapsed="false">
      <c r="A19" s="10" t="s">
        <v>39</v>
      </c>
      <c r="B19" s="7" t="s">
        <v>43</v>
      </c>
      <c r="C19" s="7" t="s">
        <v>44</v>
      </c>
      <c r="D19" s="7" t="n">
        <v>2</v>
      </c>
      <c r="E19" s="7" t="s">
        <v>45</v>
      </c>
      <c r="F19" s="8"/>
      <c r="G19" s="8"/>
    </row>
    <row r="20" customFormat="false" ht="15" hidden="false" customHeight="false" outlineLevel="0" collapsed="false">
      <c r="A20" s="10" t="s">
        <v>39</v>
      </c>
      <c r="B20" s="7" t="s">
        <v>46</v>
      </c>
      <c r="C20" s="7" t="s">
        <v>47</v>
      </c>
      <c r="D20" s="7" t="n">
        <v>1</v>
      </c>
      <c r="E20" s="7" t="s">
        <v>48</v>
      </c>
      <c r="F20" s="8"/>
      <c r="G20" s="8"/>
    </row>
    <row r="21" customFormat="false" ht="15" hidden="false" customHeight="false" outlineLevel="0" collapsed="false">
      <c r="A21" s="10" t="s">
        <v>39</v>
      </c>
      <c r="B21" s="7" t="s">
        <v>49</v>
      </c>
      <c r="C21" s="7" t="s">
        <v>50</v>
      </c>
      <c r="D21" s="7" t="n">
        <v>6</v>
      </c>
      <c r="E21" s="7" t="s">
        <v>51</v>
      </c>
      <c r="F21" s="8"/>
      <c r="G21" s="8"/>
    </row>
    <row r="22" customFormat="false" ht="15" hidden="false" customHeight="false" outlineLevel="0" collapsed="false">
      <c r="A22" s="10" t="s">
        <v>39</v>
      </c>
      <c r="B22" s="7" t="s">
        <v>52</v>
      </c>
      <c r="C22" s="7" t="s">
        <v>53</v>
      </c>
      <c r="D22" s="7" t="n">
        <v>1</v>
      </c>
      <c r="E22" s="7" t="s">
        <v>54</v>
      </c>
      <c r="F22" s="8"/>
      <c r="G22" s="8"/>
    </row>
    <row r="23" customFormat="false" ht="15" hidden="false" customHeight="false" outlineLevel="0" collapsed="false">
      <c r="A23" s="10" t="s">
        <v>39</v>
      </c>
      <c r="B23" s="7" t="s">
        <v>55</v>
      </c>
      <c r="C23" s="7" t="s">
        <v>53</v>
      </c>
      <c r="D23" s="7" t="n">
        <v>1</v>
      </c>
      <c r="E23" s="7" t="s">
        <v>56</v>
      </c>
      <c r="F23" s="8"/>
      <c r="G23" s="8"/>
    </row>
    <row r="24" customFormat="false" ht="15" hidden="false" customHeight="false" outlineLevel="0" collapsed="false">
      <c r="A24" s="10" t="s">
        <v>39</v>
      </c>
      <c r="B24" s="7" t="s">
        <v>57</v>
      </c>
      <c r="C24" s="7" t="s">
        <v>58</v>
      </c>
      <c r="D24" s="7" t="n">
        <v>2</v>
      </c>
      <c r="E24" s="7" t="s">
        <v>59</v>
      </c>
      <c r="F24" s="8"/>
      <c r="G24" s="8"/>
    </row>
    <row r="25" customFormat="false" ht="15" hidden="false" customHeight="false" outlineLevel="0" collapsed="false">
      <c r="A25" s="10" t="s">
        <v>39</v>
      </c>
      <c r="B25" s="7" t="s">
        <v>60</v>
      </c>
      <c r="C25" s="7" t="s">
        <v>61</v>
      </c>
      <c r="D25" s="7" t="n">
        <v>1</v>
      </c>
      <c r="E25" s="7"/>
      <c r="F25" s="8"/>
      <c r="G25" s="8"/>
    </row>
    <row r="26" customFormat="false" ht="23.85" hidden="false" customHeight="false" outlineLevel="0" collapsed="false">
      <c r="A26" s="11" t="s">
        <v>62</v>
      </c>
      <c r="B26" s="7" t="s">
        <v>63</v>
      </c>
      <c r="C26" s="7"/>
      <c r="D26" s="7"/>
      <c r="E26" s="7" t="s">
        <v>64</v>
      </c>
      <c r="F26" s="8"/>
      <c r="G26" s="8"/>
    </row>
    <row r="27" customFormat="false" ht="23.85" hidden="false" customHeight="false" outlineLevel="0" collapsed="false">
      <c r="A27" s="11" t="s">
        <v>62</v>
      </c>
      <c r="B27" s="7" t="s">
        <v>65</v>
      </c>
      <c r="C27" s="7"/>
      <c r="D27" s="7"/>
      <c r="E27" s="7" t="s">
        <v>64</v>
      </c>
      <c r="F27" s="8"/>
      <c r="G27" s="8"/>
    </row>
    <row r="28" customFormat="false" ht="23.85" hidden="false" customHeight="false" outlineLevel="0" collapsed="false">
      <c r="A28" s="11" t="s">
        <v>62</v>
      </c>
      <c r="B28" s="7" t="s">
        <v>66</v>
      </c>
      <c r="C28" s="7"/>
      <c r="D28" s="7"/>
      <c r="E28" s="7" t="s">
        <v>64</v>
      </c>
      <c r="F28" s="8"/>
      <c r="G28" s="8"/>
    </row>
    <row r="29" customFormat="false" ht="23.85" hidden="false" customHeight="false" outlineLevel="0" collapsed="false">
      <c r="A29" s="11" t="s">
        <v>62</v>
      </c>
      <c r="B29" s="7" t="s">
        <v>67</v>
      </c>
      <c r="C29" s="7"/>
      <c r="D29" s="7"/>
      <c r="E29" s="7" t="s">
        <v>64</v>
      </c>
      <c r="F29" s="8"/>
      <c r="G29" s="8"/>
    </row>
    <row r="30" customFormat="false" ht="23.85" hidden="false" customHeight="false" outlineLevel="0" collapsed="false">
      <c r="A30" s="11" t="s">
        <v>62</v>
      </c>
      <c r="B30" s="7" t="s">
        <v>68</v>
      </c>
      <c r="C30" s="7"/>
      <c r="D30" s="7"/>
      <c r="E30" s="7" t="s">
        <v>64</v>
      </c>
      <c r="F30" s="8"/>
      <c r="G30" s="8"/>
    </row>
    <row r="31" customFormat="false" ht="23.85" hidden="false" customHeight="false" outlineLevel="0" collapsed="false">
      <c r="A31" s="11" t="s">
        <v>62</v>
      </c>
      <c r="B31" s="7" t="s">
        <v>69</v>
      </c>
      <c r="C31" s="7"/>
      <c r="D31" s="7"/>
      <c r="E31" s="7" t="s">
        <v>64</v>
      </c>
      <c r="F31" s="8"/>
      <c r="G31" s="8"/>
    </row>
    <row r="32" customFormat="false" ht="23.85" hidden="false" customHeight="false" outlineLevel="0" collapsed="false">
      <c r="A32" s="11" t="s">
        <v>62</v>
      </c>
      <c r="B32" s="7" t="s">
        <v>70</v>
      </c>
      <c r="C32" s="7"/>
      <c r="D32" s="7"/>
      <c r="E32" s="7" t="s">
        <v>64</v>
      </c>
      <c r="F32" s="8"/>
      <c r="G32" s="8"/>
    </row>
    <row r="33" customFormat="false" ht="23.85" hidden="false" customHeight="false" outlineLevel="0" collapsed="false">
      <c r="A33" s="11" t="s">
        <v>62</v>
      </c>
      <c r="B33" s="7" t="s">
        <v>71</v>
      </c>
      <c r="C33" s="7"/>
      <c r="D33" s="7"/>
      <c r="E33" s="7" t="s">
        <v>64</v>
      </c>
      <c r="F33" s="8"/>
      <c r="G33" s="8"/>
    </row>
    <row r="34" customFormat="false" ht="23.85" hidden="false" customHeight="false" outlineLevel="0" collapsed="false">
      <c r="A34" s="11" t="s">
        <v>62</v>
      </c>
      <c r="B34" s="7" t="s">
        <v>72</v>
      </c>
      <c r="C34" s="7"/>
      <c r="D34" s="7"/>
      <c r="E34" s="7" t="s">
        <v>64</v>
      </c>
      <c r="F34" s="8"/>
      <c r="G34" s="8"/>
    </row>
    <row r="35" customFormat="false" ht="23.85" hidden="false" customHeight="false" outlineLevel="0" collapsed="false">
      <c r="A35" s="11" t="s">
        <v>62</v>
      </c>
      <c r="B35" s="7" t="s">
        <v>73</v>
      </c>
      <c r="C35" s="7"/>
      <c r="D35" s="7"/>
      <c r="E35" s="7" t="s">
        <v>64</v>
      </c>
      <c r="F35" s="8"/>
      <c r="G35" s="8"/>
    </row>
    <row r="36" customFormat="false" ht="23.85" hidden="false" customHeight="false" outlineLevel="0" collapsed="false">
      <c r="A36" s="11" t="s">
        <v>62</v>
      </c>
      <c r="B36" s="7" t="s">
        <v>74</v>
      </c>
      <c r="C36" s="7"/>
      <c r="D36" s="7"/>
      <c r="E36" s="7" t="s">
        <v>64</v>
      </c>
      <c r="F36" s="8"/>
      <c r="G36" s="8"/>
    </row>
    <row r="37" customFormat="false" ht="23.85" hidden="false" customHeight="false" outlineLevel="0" collapsed="false">
      <c r="A37" s="11" t="s">
        <v>62</v>
      </c>
      <c r="B37" s="7" t="s">
        <v>75</v>
      </c>
      <c r="C37" s="7"/>
      <c r="D37" s="7"/>
      <c r="E37" s="7" t="s">
        <v>64</v>
      </c>
      <c r="F37" s="8"/>
      <c r="G37" s="8"/>
    </row>
    <row r="38" customFormat="false" ht="23.85" hidden="false" customHeight="false" outlineLevel="0" collapsed="false">
      <c r="A38" s="11" t="s">
        <v>62</v>
      </c>
      <c r="B38" s="7" t="s">
        <v>76</v>
      </c>
      <c r="C38" s="7"/>
      <c r="D38" s="7"/>
      <c r="E38" s="7" t="s">
        <v>64</v>
      </c>
      <c r="F38" s="8"/>
      <c r="G38" s="8"/>
    </row>
    <row r="39" customFormat="false" ht="23.85" hidden="false" customHeight="false" outlineLevel="0" collapsed="false">
      <c r="A39" s="11" t="s">
        <v>62</v>
      </c>
      <c r="B39" s="7" t="s">
        <v>77</v>
      </c>
      <c r="C39" s="7"/>
      <c r="D39" s="7"/>
      <c r="E39" s="7" t="s">
        <v>64</v>
      </c>
      <c r="F39" s="8"/>
      <c r="G39" s="8"/>
    </row>
    <row r="40" customFormat="false" ht="23.85" hidden="false" customHeight="false" outlineLevel="0" collapsed="false">
      <c r="A40" s="11" t="s">
        <v>62</v>
      </c>
      <c r="B40" s="7" t="s">
        <v>78</v>
      </c>
      <c r="C40" s="7"/>
      <c r="D40" s="7"/>
      <c r="E40" s="7" t="s">
        <v>64</v>
      </c>
      <c r="F40" s="8"/>
      <c r="G40" s="8"/>
    </row>
    <row r="42" customFormat="false" ht="15" hidden="false" customHeight="false" outlineLevel="0" collapsed="false">
      <c r="A42" s="12" t="s">
        <v>79</v>
      </c>
    </row>
    <row r="43" customFormat="false" ht="15" hidden="false" customHeight="false" outlineLevel="0" collapsed="false">
      <c r="A43" s="13" t="s">
        <v>80</v>
      </c>
      <c r="B43" s="14" t="n">
        <f aca="false">COUNTIF($F$6:$F$40,"Jóváhagyom")</f>
        <v>0</v>
      </c>
    </row>
    <row r="44" customFormat="false" ht="15" hidden="false" customHeight="false" outlineLevel="0" collapsed="false">
      <c r="A44" s="13" t="s">
        <v>81</v>
      </c>
      <c r="B44" s="14" t="n">
        <f aca="false">COUNTIF($F$6:$F$40,"Módosítom")</f>
        <v>0</v>
      </c>
    </row>
    <row r="45" customFormat="false" ht="15" hidden="false" customHeight="false" outlineLevel="0" collapsed="false">
      <c r="A45" s="13" t="s">
        <v>82</v>
      </c>
      <c r="B45" s="14" t="n">
        <f aca="false">COUNTIF($F$6:$F$40,"Elvetem")</f>
        <v>0</v>
      </c>
    </row>
    <row r="46" customFormat="false" ht="15" hidden="false" customHeight="false" outlineLevel="0" collapsed="false">
      <c r="A46" s="13" t="s">
        <v>83</v>
      </c>
      <c r="B46" s="14" t="n">
        <f aca="false">COUNTA($B$6:$B$40)-SUM(B43:B45)</f>
        <v>35</v>
      </c>
    </row>
    <row r="47" customFormat="false" ht="15" hidden="false" customHeight="false" outlineLevel="0" collapsed="false">
      <c r="A47" s="13" t="s">
        <v>84</v>
      </c>
      <c r="B47" s="14" t="n">
        <f aca="false">SUM(D6:D40)</f>
        <v>74</v>
      </c>
    </row>
  </sheetData>
  <autoFilter ref="A5:G40"/>
  <dataValidations count="1">
    <dataValidation allowBlank="true" errorStyle="stop" operator="between" showDropDown="false" showErrorMessage="false" showInputMessage="false" sqref="F6:F40" type="list">
      <formula1>"Jóváhagyom,Módosítom,Elvetem"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2026-10-23T13:35:08Z</dcterms:created>
  <dc:creator>openpyxl</dc:creator>
  <dc:description/>
  <dc:language>en-US</dc:language>
  <cp:lastModifiedBy/>
  <dcterms:modified xsi:type="dcterms:W3CDTF">2026-10-23T13:35:09Z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